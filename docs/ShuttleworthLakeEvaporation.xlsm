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k001\HMT\HMT002\50 Solutions\04 datasphere Sensor\00 Solution\50 Implementation\wp agrimet\knowledge centre\Lake evaporation\"/>
    </mc:Choice>
  </mc:AlternateContent>
  <xr:revisionPtr revIDLastSave="0" documentId="13_ncr:1_{1A4A5F8B-BF22-4160-AC3F-32E7862504AA}" xr6:coauthVersionLast="47" xr6:coauthVersionMax="47" xr10:uidLastSave="{00000000-0000-0000-0000-000000000000}"/>
  <bookViews>
    <workbookView xWindow="-120" yWindow="-120" windowWidth="29040" windowHeight="17520" xr2:uid="{521FF610-568E-44BE-B0ED-46AE1CF46593}"/>
  </bookViews>
  <sheets>
    <sheet name="Shuttleworth Calculus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4" l="1"/>
  <c r="B17" i="4"/>
  <c r="B35" i="4"/>
  <c r="B36" i="4" s="1"/>
  <c r="I32" i="4"/>
  <c r="I33" i="4" s="1"/>
  <c r="B27" i="4"/>
  <c r="B34" i="4"/>
  <c r="B33" i="4"/>
  <c r="B25" i="4"/>
  <c r="B26" i="4" s="1"/>
  <c r="B13" i="4"/>
  <c r="B14" i="4" s="1"/>
  <c r="B37" i="4" l="1"/>
  <c r="B41" i="4" s="1"/>
  <c r="B20" i="4"/>
  <c r="B28" i="4"/>
  <c r="B19" i="4"/>
  <c r="B21" i="4" l="1"/>
  <c r="B29" i="4" s="1"/>
  <c r="B30" i="4" s="1"/>
  <c r="B50" i="4" s="1"/>
  <c r="B38" i="4"/>
  <c r="B39" i="4" l="1"/>
  <c r="I34" i="4"/>
  <c r="B40" i="4" l="1"/>
  <c r="B42" i="4" s="1"/>
  <c r="B44" i="4" s="1"/>
  <c r="B43" i="4" l="1"/>
  <c r="B45" i="4" s="1"/>
  <c r="B46" i="4" s="1"/>
  <c r="B47" i="4" s="1"/>
  <c r="B51" i="4" s="1"/>
  <c r="B52" i="4" s="1"/>
  <c r="E1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 Jaques</author>
  </authors>
  <commentList>
    <comment ref="D4" authorId="0" shapeId="0" xr:uid="{52465869-8960-40C0-B2A2-8C73265BD316}">
      <text>
        <r>
          <rPr>
            <b/>
            <sz val="9"/>
            <color indexed="81"/>
            <rFont val="Tahoma"/>
            <family val="2"/>
          </rPr>
          <t>Johan Jaques:</t>
        </r>
        <r>
          <rPr>
            <sz val="9"/>
            <color indexed="81"/>
            <rFont val="Tahoma"/>
            <family val="2"/>
          </rPr>
          <t xml:space="preserve">
Southern hemisphere is negative</t>
        </r>
      </text>
    </comment>
    <comment ref="E4" authorId="0" shapeId="0" xr:uid="{1B65E14A-7ACB-4A54-A45A-B97C3B845660}">
      <text>
        <r>
          <rPr>
            <b/>
            <sz val="9"/>
            <color indexed="81"/>
            <rFont val="Tahoma"/>
            <family val="2"/>
          </rPr>
          <t>Johan Jaques:</t>
        </r>
        <r>
          <rPr>
            <sz val="9"/>
            <color indexed="81"/>
            <rFont val="Tahoma"/>
            <family val="2"/>
          </rPr>
          <t xml:space="preserve">
decimal degrees</t>
        </r>
      </text>
    </comment>
    <comment ref="A12" authorId="0" shapeId="0" xr:uid="{E84B60C9-AE35-49C0-BB93-FF8F41763D55}">
      <text>
        <r>
          <rPr>
            <b/>
            <sz val="9"/>
            <color indexed="81"/>
            <rFont val="Tahoma"/>
            <family val="2"/>
          </rPr>
          <t>Johan Jaques:</t>
        </r>
        <r>
          <rPr>
            <sz val="9"/>
            <color indexed="81"/>
            <rFont val="Tahoma"/>
            <family val="2"/>
          </rPr>
          <t xml:space="preserve">
Not needed if parameters are taken from NWP</t>
        </r>
      </text>
    </comment>
    <comment ref="A17" authorId="0" shapeId="0" xr:uid="{76D83B59-89EA-4A39-8034-6E5A83E973FA}">
      <text>
        <r>
          <rPr>
            <b/>
            <sz val="9"/>
            <color indexed="81"/>
            <rFont val="Tahoma"/>
            <family val="2"/>
          </rPr>
          <t>Johan Jaques:</t>
        </r>
        <r>
          <rPr>
            <sz val="9"/>
            <color indexed="81"/>
            <rFont val="Tahoma"/>
            <family val="2"/>
          </rPr>
          <t xml:space="preserve">
saturated vapour pressure</t>
        </r>
      </text>
    </comment>
    <comment ref="A19" authorId="0" shapeId="0" xr:uid="{934FB495-9D4B-44E9-A955-D411F30F167F}">
      <text>
        <r>
          <rPr>
            <b/>
            <sz val="9"/>
            <color indexed="81"/>
            <rFont val="Tahoma"/>
            <family val="2"/>
          </rPr>
          <t>Johan Jaques:</t>
        </r>
        <r>
          <rPr>
            <sz val="9"/>
            <color indexed="81"/>
            <rFont val="Tahoma"/>
            <family val="2"/>
          </rPr>
          <t xml:space="preserve">
avg saturated vapour pressure)</t>
        </r>
      </text>
    </comment>
    <comment ref="A20" authorId="0" shapeId="0" xr:uid="{483D1938-52D0-4078-9F55-92963BF9CFF6}">
      <text>
        <r>
          <rPr>
            <b/>
            <sz val="9"/>
            <color indexed="81"/>
            <rFont val="Tahoma"/>
            <family val="2"/>
          </rPr>
          <t>Johan Jaques:</t>
        </r>
        <r>
          <rPr>
            <sz val="9"/>
            <color indexed="81"/>
            <rFont val="Tahoma"/>
            <family val="2"/>
          </rPr>
          <t xml:space="preserve">
avg actual vapour pressure</t>
        </r>
      </text>
    </comment>
    <comment ref="A24" authorId="0" shapeId="0" xr:uid="{490EE2DD-F33A-474F-95AA-2DAEFFA5142B}">
      <text>
        <r>
          <rPr>
            <b/>
            <sz val="9"/>
            <color indexed="81"/>
            <rFont val="Tahoma"/>
            <charset val="1"/>
          </rPr>
          <t>Johan Jaques:</t>
        </r>
        <r>
          <rPr>
            <sz val="9"/>
            <color indexed="81"/>
            <rFont val="Tahoma"/>
            <charset val="1"/>
          </rPr>
          <t xml:space="preserve">
Latent heat of vaporization</t>
        </r>
      </text>
    </comment>
    <comment ref="A26" authorId="0" shapeId="0" xr:uid="{94F2B0E5-A676-4565-A743-DF8017B72456}">
      <text>
        <r>
          <rPr>
            <b/>
            <sz val="9"/>
            <color indexed="81"/>
            <rFont val="Tahoma"/>
            <family val="2"/>
          </rPr>
          <t>Johan Jaques:</t>
        </r>
        <r>
          <rPr>
            <sz val="9"/>
            <color indexed="81"/>
            <rFont val="Tahoma"/>
            <family val="2"/>
          </rPr>
          <t xml:space="preserve">
slope of saturation vapour pressure curve at air temperature T</t>
        </r>
      </text>
    </comment>
    <comment ref="A27" authorId="0" shapeId="0" xr:uid="{B5189D99-D6A1-4B45-B1EF-BD15989ECCE1}">
      <text>
        <r>
          <rPr>
            <b/>
            <sz val="9"/>
            <color indexed="81"/>
            <rFont val="Tahoma"/>
            <family val="2"/>
          </rPr>
          <t>Johan Jaques:</t>
        </r>
        <r>
          <rPr>
            <sz val="9"/>
            <color indexed="81"/>
            <rFont val="Tahoma"/>
            <family val="2"/>
          </rPr>
          <t xml:space="preserve">
Psychrometric constant dependant on pressure</t>
        </r>
      </text>
    </comment>
    <comment ref="A40" authorId="0" shapeId="0" xr:uid="{35E8FEB2-3268-4A71-B7AB-8FB89BA942A2}">
      <text>
        <r>
          <rPr>
            <b/>
            <sz val="9"/>
            <color indexed="81"/>
            <rFont val="Tahoma"/>
            <family val="2"/>
          </rPr>
          <t>Johan Jaques:</t>
        </r>
        <r>
          <rPr>
            <sz val="9"/>
            <color indexed="81"/>
            <rFont val="Tahoma"/>
            <family val="2"/>
          </rPr>
          <t xml:space="preserve">
the values as = 0.25 and bs = 0.50 are recommended</t>
        </r>
      </text>
    </comment>
  </commentList>
</comments>
</file>

<file path=xl/sharedStrings.xml><?xml version="1.0" encoding="utf-8"?>
<sst xmlns="http://schemas.openxmlformats.org/spreadsheetml/2006/main" count="94" uniqueCount="73">
  <si>
    <t>Input parameters</t>
  </si>
  <si>
    <t>Tmax °C</t>
  </si>
  <si>
    <t>Tmin °C</t>
  </si>
  <si>
    <t>RHmax %</t>
  </si>
  <si>
    <t>RHmin %</t>
  </si>
  <si>
    <t>Actual hours of sunshine n</t>
  </si>
  <si>
    <t>Latitude</t>
  </si>
  <si>
    <t>Daynumber</t>
  </si>
  <si>
    <t>Altitude (m)</t>
  </si>
  <si>
    <t>Conversion of windspeed</t>
  </si>
  <si>
    <t>Convert windspeed to m/s</t>
  </si>
  <si>
    <t>Other Parameters</t>
  </si>
  <si>
    <t>Avg Air pressure at station height kPa</t>
  </si>
  <si>
    <t xml:space="preserve">Tmean </t>
  </si>
  <si>
    <t>g</t>
  </si>
  <si>
    <t>Vapour pressure deficit</t>
  </si>
  <si>
    <t>Radiation</t>
  </si>
  <si>
    <t>esTmax</t>
  </si>
  <si>
    <t>esTmin</t>
  </si>
  <si>
    <t>es</t>
  </si>
  <si>
    <t>kPa</t>
  </si>
  <si>
    <t>m/s</t>
  </si>
  <si>
    <t>°C</t>
  </si>
  <si>
    <t>kPa/°C</t>
  </si>
  <si>
    <t>ea</t>
  </si>
  <si>
    <r>
      <t>MJ m</t>
    </r>
    <r>
      <rPr>
        <vertAlign val="superscript"/>
        <sz val="11"/>
        <color theme="1"/>
        <rFont val="Calibri"/>
        <family val="2"/>
        <scheme val="minor"/>
      </rPr>
      <t>-2</t>
    </r>
    <r>
      <rPr>
        <sz val="11"/>
        <color theme="1"/>
        <rFont val="Calibri"/>
        <family val="2"/>
        <scheme val="minor"/>
      </rPr>
      <t xml:space="preserve"> day</t>
    </r>
    <r>
      <rPr>
        <vertAlign val="superscript"/>
        <sz val="11"/>
        <color theme="1"/>
        <rFont val="Calibri"/>
        <family val="2"/>
        <scheme val="minor"/>
      </rPr>
      <t>-1</t>
    </r>
  </si>
  <si>
    <t>Extraterrestrial radiation Ra</t>
  </si>
  <si>
    <r>
      <t>d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inverse relative distance</t>
    </r>
  </si>
  <si>
    <r>
      <t>ω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sunset hour angel</t>
    </r>
  </si>
  <si>
    <t>rad</t>
  </si>
  <si>
    <t>φ latitude</t>
  </si>
  <si>
    <t>δ solar declination</t>
  </si>
  <si>
    <t>-</t>
  </si>
  <si>
    <t>mm/day</t>
  </si>
  <si>
    <t>Daylight hours N</t>
  </si>
  <si>
    <t>hours</t>
  </si>
  <si>
    <t>Sunlight ratio n/N</t>
  </si>
  <si>
    <r>
      <t>Solar Radiation R</t>
    </r>
    <r>
      <rPr>
        <vertAlign val="subscript"/>
        <sz val="11"/>
        <color theme="1"/>
        <rFont val="Calibri"/>
        <family val="2"/>
        <scheme val="minor"/>
      </rPr>
      <t>s</t>
    </r>
  </si>
  <si>
    <r>
      <t>Clear Sky Solar Radiation R</t>
    </r>
    <r>
      <rPr>
        <vertAlign val="subscript"/>
        <sz val="11"/>
        <color theme="1"/>
        <rFont val="Calibri"/>
        <family val="2"/>
        <scheme val="minor"/>
      </rPr>
      <t>so</t>
    </r>
  </si>
  <si>
    <t>MJ m-2 day-1</t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</si>
  <si>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s </t>
    </r>
    <r>
      <rPr>
        <sz val="11"/>
        <color theme="1"/>
        <rFont val="Calibri"/>
        <family val="2"/>
        <scheme val="minor"/>
      </rPr>
      <t>/ R</t>
    </r>
    <r>
      <rPr>
        <vertAlign val="subscript"/>
        <sz val="11"/>
        <color theme="1"/>
        <rFont val="Calibri"/>
        <family val="2"/>
        <scheme val="minor"/>
      </rPr>
      <t>so</t>
    </r>
  </si>
  <si>
    <r>
      <t>Net shortwave radiation R</t>
    </r>
    <r>
      <rPr>
        <vertAlign val="subscript"/>
        <sz val="11"/>
        <color theme="1"/>
        <rFont val="Calibri"/>
        <family val="2"/>
        <scheme val="minor"/>
      </rPr>
      <t>ns</t>
    </r>
  </si>
  <si>
    <t>Albedo</t>
  </si>
  <si>
    <r>
      <t>Net longwave radiation R</t>
    </r>
    <r>
      <rPr>
        <vertAlign val="subscript"/>
        <sz val="11"/>
        <color theme="1"/>
        <rFont val="Calibri"/>
        <family val="2"/>
        <scheme val="minor"/>
      </rPr>
      <t>nl</t>
    </r>
    <r>
      <rPr>
        <sz val="11"/>
        <color theme="1"/>
        <rFont val="Calibri"/>
        <family val="2"/>
        <scheme val="minor"/>
      </rPr>
      <t xml:space="preserve"> </t>
    </r>
  </si>
  <si>
    <r>
      <t>Net radiation R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</t>
    </r>
  </si>
  <si>
    <t>Combining previous results</t>
  </si>
  <si>
    <r>
      <t>Avg windspeed 10m u</t>
    </r>
    <r>
      <rPr>
        <vertAlign val="sub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km/h</t>
    </r>
  </si>
  <si>
    <t>h</t>
  </si>
  <si>
    <t>m</t>
  </si>
  <si>
    <t>If Actual hours of sunshine are not observed:</t>
  </si>
  <si>
    <t>Nl</t>
  </si>
  <si>
    <t>Nm</t>
  </si>
  <si>
    <t>Nh</t>
  </si>
  <si>
    <t>Ne</t>
  </si>
  <si>
    <t>Nlm</t>
  </si>
  <si>
    <t>Get from NWP Avg low, medium and high cloud in octa</t>
  </si>
  <si>
    <t>Actual hours of sunshine</t>
  </si>
  <si>
    <t>octa</t>
  </si>
  <si>
    <r>
      <t>Convert windspeed to 2 m (u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</si>
  <si>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λv</t>
  </si>
  <si>
    <t>MJ kg-1</t>
  </si>
  <si>
    <t>δe vapour pressure deficit (es-ea)</t>
  </si>
  <si>
    <r>
      <rPr>
        <sz val="12"/>
        <color rgb="FF000000"/>
        <rFont val="Calibri Light"/>
        <family val="2"/>
        <scheme val="major"/>
      </rPr>
      <t>λv (m</t>
    </r>
    <r>
      <rPr>
        <sz val="12"/>
        <color rgb="FF000000"/>
        <rFont val="Symbol"/>
        <family val="1"/>
        <charset val="2"/>
      </rPr>
      <t>+g)</t>
    </r>
  </si>
  <si>
    <r>
      <t xml:space="preserve">g </t>
    </r>
    <r>
      <rPr>
        <sz val="11"/>
        <color theme="1"/>
        <rFont val="Calibri"/>
        <family val="2"/>
        <scheme val="minor"/>
      </rPr>
      <t>* 6,43 (1+0,536*u2)*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e</t>
    </r>
  </si>
  <si>
    <r>
      <t xml:space="preserve">g </t>
    </r>
    <r>
      <rPr>
        <sz val="11"/>
        <color theme="1"/>
        <rFont val="Calibri"/>
        <family val="2"/>
        <scheme val="minor"/>
      </rPr>
      <t>* 6,43 (1+0,536*u2)*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e</t>
    </r>
    <r>
      <rPr>
        <sz val="11"/>
        <color theme="1"/>
        <rFont val="Symbol"/>
        <family val="1"/>
        <charset val="2"/>
      </rPr>
      <t>/ l</t>
    </r>
    <r>
      <rPr>
        <sz val="11"/>
        <color theme="1"/>
        <rFont val="Calibri"/>
        <family val="2"/>
        <scheme val="minor"/>
      </rPr>
      <t>v</t>
    </r>
    <r>
      <rPr>
        <sz val="11"/>
        <color theme="1"/>
        <rFont val="Symbol"/>
        <family val="1"/>
        <charset val="2"/>
      </rPr>
      <t xml:space="preserve"> (</t>
    </r>
    <r>
      <rPr>
        <sz val="11"/>
        <color theme="1"/>
        <rFont val="Calibri"/>
        <family val="2"/>
        <scheme val="minor"/>
      </rPr>
      <t>m</t>
    </r>
    <r>
      <rPr>
        <sz val="11"/>
        <color theme="1"/>
        <rFont val="Symbol"/>
        <family val="1"/>
        <charset val="2"/>
      </rPr>
      <t>+g)</t>
    </r>
  </si>
  <si>
    <r>
      <t>mR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</t>
    </r>
  </si>
  <si>
    <r>
      <t>mR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/  λv (m+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)</t>
    </r>
  </si>
  <si>
    <r>
      <t>EV</t>
    </r>
    <r>
      <rPr>
        <vertAlign val="subscript"/>
        <sz val="10"/>
        <color rgb="FF000000"/>
        <rFont val="Arial"/>
        <family val="2"/>
      </rPr>
      <t>lake</t>
    </r>
  </si>
  <si>
    <r>
      <t>Determination of EV</t>
    </r>
    <r>
      <rPr>
        <vertAlign val="subscript"/>
        <sz val="11"/>
        <color rgb="FF000000"/>
        <rFont val="Calibri"/>
        <family val="2"/>
        <scheme val="minor"/>
      </rPr>
      <t>lake</t>
    </r>
    <r>
      <rPr>
        <sz val="11"/>
        <color rgb="FF000000"/>
        <rFont val="Calibri"/>
        <family val="2"/>
        <scheme val="minor"/>
      </rPr>
      <t xml:space="preserve"> with daily data</t>
    </r>
  </si>
  <si>
    <t>or use use Ångström–Prescott</t>
  </si>
  <si>
    <t>H = observed radiation</t>
  </si>
  <si>
    <t>Ho= clear sky radation = B41</t>
  </si>
  <si>
    <t>So= Daylight hours=B38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</si>
</sst>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Symbol"/>
      <family val="1"/>
      <charset val="2"/>
    </font>
    <font>
      <sz val="10"/>
      <color rgb="FF000000"/>
      <name val="Arial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bscript"/>
      <sz val="11"/>
      <color rgb="FF00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rgb="FF000000"/>
      <name val="Symbol"/>
      <family val="1"/>
      <charset val="2"/>
    </font>
    <font>
      <sz val="12"/>
      <color rgb="FF000000"/>
      <name val="Calibri Light"/>
      <family val="2"/>
      <scheme val="major"/>
    </font>
    <font>
      <sz val="12"/>
      <color rgb="FF000000"/>
      <name val="Symbol"/>
      <family val="2"/>
      <charset val="2"/>
    </font>
    <font>
      <sz val="11"/>
      <color theme="1"/>
      <name val="Symbol"/>
      <family val="1"/>
      <charset val="2"/>
    </font>
    <font>
      <vertAlign val="subscript"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vertical="center"/>
    </xf>
    <xf numFmtId="0" fontId="4" fillId="0" borderId="0" xfId="0" applyFont="1"/>
    <xf numFmtId="0" fontId="5" fillId="0" borderId="0" xfId="0" applyFont="1"/>
    <xf numFmtId="0" fontId="0" fillId="0" borderId="0" xfId="0" quotePrefix="1"/>
    <xf numFmtId="0" fontId="0" fillId="0" borderId="0" xfId="0" applyAlignment="1">
      <alignment horizontal="right" vertical="center"/>
    </xf>
    <xf numFmtId="166" fontId="0" fillId="0" borderId="0" xfId="0" applyNumberFormat="1"/>
    <xf numFmtId="0" fontId="0" fillId="0" borderId="0" xfId="0" applyAlignment="1">
      <alignment horizontal="left"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2" borderId="0" xfId="0" applyFill="1"/>
    <xf numFmtId="0" fontId="5" fillId="3" borderId="0" xfId="0" applyFont="1" applyFill="1" applyAlignment="1">
      <alignment vertical="center"/>
    </xf>
    <xf numFmtId="166" fontId="0" fillId="4" borderId="0" xfId="0" applyNumberFormat="1" applyFill="1"/>
    <xf numFmtId="0" fontId="0" fillId="0" borderId="1" xfId="0" applyBorder="1"/>
    <xf numFmtId="167" fontId="0" fillId="0" borderId="1" xfId="0" applyNumberFormat="1" applyBorder="1"/>
    <xf numFmtId="0" fontId="1" fillId="0" borderId="1" xfId="0" applyFont="1" applyBorder="1"/>
    <xf numFmtId="166" fontId="0" fillId="5" borderId="0" xfId="0" applyNumberFormat="1" applyFill="1"/>
    <xf numFmtId="0" fontId="14" fillId="0" borderId="0" xfId="0" applyFont="1"/>
    <xf numFmtId="0" fontId="15" fillId="0" borderId="0" xfId="0" applyFont="1" applyAlignment="1">
      <alignment wrapText="1"/>
    </xf>
    <xf numFmtId="2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199201</xdr:colOff>
      <xdr:row>24</xdr:row>
      <xdr:rowOff>113727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295601-EEF7-4AF9-8C0F-AF9BE1477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228600"/>
          <a:ext cx="6590476" cy="4580952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28</xdr:row>
      <xdr:rowOff>0</xdr:rowOff>
    </xdr:from>
    <xdr:to>
      <xdr:col>19</xdr:col>
      <xdr:colOff>486011</xdr:colOff>
      <xdr:row>35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7DDC92-CCD9-4EC3-A8A9-AD9A8EABF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53425" y="5476875"/>
          <a:ext cx="5972411" cy="1409700"/>
        </a:xfrm>
        <a:prstGeom prst="rect">
          <a:avLst/>
        </a:prstGeom>
      </xdr:spPr>
    </xdr:pic>
    <xdr:clientData/>
  </xdr:twoCellAnchor>
  <xdr:twoCellAnchor editAs="oneCell">
    <xdr:from>
      <xdr:col>7</xdr:col>
      <xdr:colOff>9525</xdr:colOff>
      <xdr:row>38</xdr:row>
      <xdr:rowOff>4720</xdr:rowOff>
    </xdr:from>
    <xdr:to>
      <xdr:col>12</xdr:col>
      <xdr:colOff>257450</xdr:colOff>
      <xdr:row>49</xdr:row>
      <xdr:rowOff>133350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6598A9A-5830-4FF1-BD88-1B0EFD2EC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7491370"/>
          <a:ext cx="4200800" cy="25289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3025A-72A4-4CC0-A1C1-A6F1171C88CE}">
  <sheetPr>
    <tabColor rgb="FF92D050"/>
  </sheetPr>
  <dimension ref="A1:O52"/>
  <sheetViews>
    <sheetView tabSelected="1" zoomScale="120" zoomScaleNormal="120" workbookViewId="0">
      <selection activeCell="D14" sqref="D14"/>
    </sheetView>
  </sheetViews>
  <sheetFormatPr defaultRowHeight="15" x14ac:dyDescent="0.25"/>
  <cols>
    <col min="1" max="1" width="38.7109375" bestFit="1" customWidth="1"/>
    <col min="2" max="2" width="10.7109375" customWidth="1"/>
    <col min="4" max="4" width="11.85546875" bestFit="1" customWidth="1"/>
    <col min="8" max="8" width="22.7109375" customWidth="1"/>
  </cols>
  <sheetData>
    <row r="1" spans="1:6" ht="18" x14ac:dyDescent="0.25">
      <c r="A1" s="12" t="s">
        <v>68</v>
      </c>
    </row>
    <row r="3" spans="1:6" x14ac:dyDescent="0.25">
      <c r="A3" s="1" t="s">
        <v>0</v>
      </c>
    </row>
    <row r="4" spans="1:6" x14ac:dyDescent="0.25">
      <c r="A4" t="s">
        <v>1</v>
      </c>
      <c r="B4" s="14">
        <v>33</v>
      </c>
      <c r="D4" t="s">
        <v>6</v>
      </c>
      <c r="E4" s="14">
        <v>51</v>
      </c>
    </row>
    <row r="5" spans="1:6" x14ac:dyDescent="0.25">
      <c r="A5" t="s">
        <v>2</v>
      </c>
      <c r="B5" s="14">
        <v>17</v>
      </c>
      <c r="D5" t="s">
        <v>8</v>
      </c>
      <c r="E5" s="14">
        <v>23</v>
      </c>
    </row>
    <row r="6" spans="1:6" x14ac:dyDescent="0.25">
      <c r="A6" t="s">
        <v>3</v>
      </c>
      <c r="B6" s="14">
        <v>60</v>
      </c>
      <c r="D6" t="s">
        <v>7</v>
      </c>
      <c r="E6" s="14">
        <v>170</v>
      </c>
    </row>
    <row r="7" spans="1:6" x14ac:dyDescent="0.25">
      <c r="A7" t="s">
        <v>4</v>
      </c>
      <c r="B7" s="14">
        <v>25</v>
      </c>
      <c r="D7" t="s">
        <v>42</v>
      </c>
      <c r="E7">
        <v>0.23</v>
      </c>
    </row>
    <row r="8" spans="1:6" ht="18" x14ac:dyDescent="0.25">
      <c r="A8" s="5" t="s">
        <v>46</v>
      </c>
      <c r="B8" s="14">
        <v>25</v>
      </c>
    </row>
    <row r="9" spans="1:6" x14ac:dyDescent="0.25">
      <c r="A9" t="s">
        <v>5</v>
      </c>
      <c r="B9" s="14">
        <v>16</v>
      </c>
    </row>
    <row r="10" spans="1:6" ht="15.75" x14ac:dyDescent="0.25">
      <c r="A10" t="s">
        <v>12</v>
      </c>
      <c r="B10" s="14">
        <v>99.9</v>
      </c>
      <c r="D10" s="15" t="s">
        <v>67</v>
      </c>
      <c r="E10" s="23">
        <f>B52</f>
        <v>9.8807051141908886</v>
      </c>
      <c r="F10" t="s">
        <v>33</v>
      </c>
    </row>
    <row r="12" spans="1:6" x14ac:dyDescent="0.25">
      <c r="A12" s="1" t="s">
        <v>9</v>
      </c>
    </row>
    <row r="13" spans="1:6" x14ac:dyDescent="0.25">
      <c r="A13" t="s">
        <v>10</v>
      </c>
      <c r="B13" s="4">
        <f>B8/3.6</f>
        <v>6.9444444444444446</v>
      </c>
    </row>
    <row r="14" spans="1:6" ht="18" x14ac:dyDescent="0.35">
      <c r="A14" t="s">
        <v>58</v>
      </c>
      <c r="B14" s="3">
        <f>0.748*B13</f>
        <v>5.1944444444444446</v>
      </c>
      <c r="C14" t="s">
        <v>21</v>
      </c>
    </row>
    <row r="15" spans="1:6" x14ac:dyDescent="0.25">
      <c r="B15" s="3"/>
    </row>
    <row r="16" spans="1:6" x14ac:dyDescent="0.25">
      <c r="A16" s="1" t="s">
        <v>15</v>
      </c>
    </row>
    <row r="17" spans="1:10" x14ac:dyDescent="0.25">
      <c r="A17" t="s">
        <v>17</v>
      </c>
      <c r="B17" s="3">
        <f>0.6108*EXP(17.27*B4/(B4+237.3))</f>
        <v>5.030147795606851</v>
      </c>
      <c r="C17" t="s">
        <v>20</v>
      </c>
    </row>
    <row r="18" spans="1:10" x14ac:dyDescent="0.25">
      <c r="A18" t="s">
        <v>18</v>
      </c>
      <c r="B18" s="3">
        <f>0.6108*EXP(17.27*B5/(B5+237.3))</f>
        <v>1.9377293518704448</v>
      </c>
      <c r="C18" t="s">
        <v>20</v>
      </c>
    </row>
    <row r="19" spans="1:10" x14ac:dyDescent="0.25">
      <c r="A19" t="s">
        <v>19</v>
      </c>
      <c r="B19" s="3">
        <f>(B17+B18)/2</f>
        <v>3.4839385737386479</v>
      </c>
      <c r="C19" t="s">
        <v>20</v>
      </c>
    </row>
    <row r="20" spans="1:10" x14ac:dyDescent="0.25">
      <c r="A20" t="s">
        <v>24</v>
      </c>
      <c r="B20" s="3">
        <f>(B17*B6/100+B18*B7/100)/2</f>
        <v>1.7512605076658609</v>
      </c>
      <c r="C20" t="s">
        <v>20</v>
      </c>
    </row>
    <row r="21" spans="1:10" x14ac:dyDescent="0.25">
      <c r="A21" s="7" t="s">
        <v>61</v>
      </c>
      <c r="B21" s="3">
        <f>B19-B20</f>
        <v>1.732678066072787</v>
      </c>
      <c r="C21" t="s">
        <v>20</v>
      </c>
    </row>
    <row r="23" spans="1:10" x14ac:dyDescent="0.25">
      <c r="A23" s="1" t="s">
        <v>11</v>
      </c>
    </row>
    <row r="24" spans="1:10" x14ac:dyDescent="0.25">
      <c r="A24" t="s">
        <v>59</v>
      </c>
      <c r="B24">
        <v>2.4500000000000002</v>
      </c>
      <c r="C24" t="s">
        <v>60</v>
      </c>
    </row>
    <row r="25" spans="1:10" x14ac:dyDescent="0.25">
      <c r="A25" t="s">
        <v>13</v>
      </c>
      <c r="B25">
        <f>(B4+B5)/2</f>
        <v>25</v>
      </c>
      <c r="C25" t="s">
        <v>22</v>
      </c>
    </row>
    <row r="26" spans="1:10" x14ac:dyDescent="0.25">
      <c r="A26" s="5" t="s">
        <v>48</v>
      </c>
      <c r="B26" s="3">
        <f>4096*(0.6108*EXP(17.27*B25/(B25+237.3)))/POWER((B25+237.3),2)</f>
        <v>0.18858974200786127</v>
      </c>
      <c r="C26" t="s">
        <v>23</v>
      </c>
    </row>
    <row r="27" spans="1:10" ht="15.75" x14ac:dyDescent="0.25">
      <c r="A27" s="6" t="s">
        <v>14</v>
      </c>
      <c r="B27" s="2">
        <f>0.665*POWER(10,-3)*B10</f>
        <v>6.6433500000000006E-2</v>
      </c>
      <c r="C27" t="s">
        <v>23</v>
      </c>
      <c r="H27" s="19" t="s">
        <v>49</v>
      </c>
      <c r="I27" s="1"/>
      <c r="J27" s="1"/>
    </row>
    <row r="28" spans="1:10" ht="15.75" x14ac:dyDescent="0.25">
      <c r="A28" s="21" t="s">
        <v>62</v>
      </c>
      <c r="B28" s="4">
        <f>B24*(B26+B27)</f>
        <v>0.6248069429192602</v>
      </c>
      <c r="C28" s="8"/>
      <c r="H28" s="17" t="s">
        <v>55</v>
      </c>
    </row>
    <row r="29" spans="1:10" x14ac:dyDescent="0.25">
      <c r="A29" s="22" t="s">
        <v>63</v>
      </c>
      <c r="B29" s="3">
        <f>B27*6.43*(1+0.536*B14)*B21</f>
        <v>2.8008678329650634</v>
      </c>
      <c r="C29" s="8"/>
      <c r="H29" s="17" t="s">
        <v>50</v>
      </c>
      <c r="I29" s="14">
        <v>3</v>
      </c>
      <c r="J29" t="s">
        <v>57</v>
      </c>
    </row>
    <row r="30" spans="1:10" x14ac:dyDescent="0.25">
      <c r="A30" s="22" t="s">
        <v>64</v>
      </c>
      <c r="B30" s="3">
        <f>B29/B28</f>
        <v>4.4827732225232353</v>
      </c>
      <c r="C30" s="8"/>
      <c r="H30" s="17" t="s">
        <v>51</v>
      </c>
      <c r="I30" s="14">
        <v>2</v>
      </c>
      <c r="J30" t="s">
        <v>57</v>
      </c>
    </row>
    <row r="31" spans="1:10" x14ac:dyDescent="0.25">
      <c r="H31" s="17" t="s">
        <v>52</v>
      </c>
      <c r="I31" s="14">
        <v>4</v>
      </c>
      <c r="J31" t="s">
        <v>57</v>
      </c>
    </row>
    <row r="32" spans="1:10" x14ac:dyDescent="0.25">
      <c r="A32" s="1" t="s">
        <v>16</v>
      </c>
      <c r="H32" s="17" t="s">
        <v>54</v>
      </c>
      <c r="I32" s="20">
        <f>I29+0.875*((8-I29)/8)*I30</f>
        <v>4.09375</v>
      </c>
    </row>
    <row r="33" spans="1:15" x14ac:dyDescent="0.25">
      <c r="A33" s="9" t="s">
        <v>30</v>
      </c>
      <c r="B33" s="4">
        <f>PI()/180*E4</f>
        <v>0.89011791851710809</v>
      </c>
      <c r="C33" t="s">
        <v>29</v>
      </c>
      <c r="H33" s="18" t="s">
        <v>53</v>
      </c>
      <c r="I33" s="20">
        <f>I32+0.25*((8-I32)/8)*I31</f>
        <v>4.58203125</v>
      </c>
    </row>
    <row r="34" spans="1:15" ht="18" x14ac:dyDescent="0.25">
      <c r="A34" s="9" t="s">
        <v>27</v>
      </c>
      <c r="B34" s="3">
        <f>1+0.033*COS(2*PI()*E6/365)</f>
        <v>0.96776102973835298</v>
      </c>
      <c r="C34" s="8" t="s">
        <v>32</v>
      </c>
      <c r="H34" s="17" t="s">
        <v>56</v>
      </c>
      <c r="I34" s="16">
        <f>(1-I33/8)*B38</f>
        <v>6.9690855022563909</v>
      </c>
      <c r="J34" t="s">
        <v>47</v>
      </c>
    </row>
    <row r="35" spans="1:15" x14ac:dyDescent="0.25">
      <c r="A35" s="9" t="s">
        <v>31</v>
      </c>
      <c r="B35" s="3">
        <f>0.409*SIN(2*PI()*E6/365-1.39)</f>
        <v>0.40875829039313832</v>
      </c>
      <c r="C35" t="s">
        <v>29</v>
      </c>
    </row>
    <row r="36" spans="1:15" ht="18" x14ac:dyDescent="0.25">
      <c r="A36" s="9" t="s">
        <v>28</v>
      </c>
      <c r="B36" s="3">
        <f>ACOS(-TAN(B33)*TAN(B35))</f>
        <v>2.1351889984490362</v>
      </c>
      <c r="C36" t="s">
        <v>29</v>
      </c>
    </row>
    <row r="37" spans="1:15" ht="17.25" x14ac:dyDescent="0.25">
      <c r="A37" s="5" t="s">
        <v>26</v>
      </c>
      <c r="B37" s="4">
        <f>24*60/PI()*0.082*B34*(B36*SIN(B33)*SIN(B35)+COS(B33)*COS(B35)*SIN(B36))</f>
        <v>41.738019280900211</v>
      </c>
      <c r="C37" t="s">
        <v>25</v>
      </c>
      <c r="H37" s="1" t="s">
        <v>69</v>
      </c>
    </row>
    <row r="38" spans="1:15" x14ac:dyDescent="0.25">
      <c r="A38" s="11" t="s">
        <v>34</v>
      </c>
      <c r="B38" s="10">
        <f>24/PI()*B36</f>
        <v>16.311642409852674</v>
      </c>
      <c r="C38" t="s">
        <v>35</v>
      </c>
    </row>
    <row r="39" spans="1:15" x14ac:dyDescent="0.25">
      <c r="A39" s="11" t="s">
        <v>36</v>
      </c>
      <c r="B39" s="4">
        <f>B9/B38</f>
        <v>0.98089448002707358</v>
      </c>
      <c r="C39" s="8" t="s">
        <v>32</v>
      </c>
    </row>
    <row r="40" spans="1:15" ht="18" x14ac:dyDescent="0.25">
      <c r="A40" s="5" t="s">
        <v>37</v>
      </c>
      <c r="B40" s="4">
        <f>(0.25+0.5*B39)*B37</f>
        <v>30.904801180174346</v>
      </c>
      <c r="C40" t="s">
        <v>39</v>
      </c>
      <c r="O40" t="s">
        <v>70</v>
      </c>
    </row>
    <row r="41" spans="1:15" ht="18" x14ac:dyDescent="0.35">
      <c r="A41" t="s">
        <v>38</v>
      </c>
      <c r="B41" s="4">
        <f>(0.75+2*E5/100000)*B37</f>
        <v>31.322713949544372</v>
      </c>
      <c r="C41" t="s">
        <v>39</v>
      </c>
      <c r="O41" t="s">
        <v>71</v>
      </c>
    </row>
    <row r="42" spans="1:15" ht="18" x14ac:dyDescent="0.35">
      <c r="A42" t="s">
        <v>40</v>
      </c>
      <c r="B42" s="4">
        <f>B40/B41</f>
        <v>0.98665783654496819</v>
      </c>
      <c r="C42" s="8" t="s">
        <v>32</v>
      </c>
      <c r="O42" t="s">
        <v>72</v>
      </c>
    </row>
    <row r="43" spans="1:15" ht="18" x14ac:dyDescent="0.35">
      <c r="A43" t="s">
        <v>41</v>
      </c>
      <c r="B43" s="4">
        <f>(1-E7)*B40</f>
        <v>23.796696908734248</v>
      </c>
      <c r="C43" t="s">
        <v>39</v>
      </c>
    </row>
    <row r="44" spans="1:15" ht="18" x14ac:dyDescent="0.25">
      <c r="A44" s="5" t="s">
        <v>43</v>
      </c>
      <c r="B44" s="4">
        <f>4.903*POWER(10,-9)*(POWER(B4+273.16,4)+POWER(B5+273.16,4))/2*(0.34-0.14*SQRT(B20))*(1.35*B42-0.35)</f>
        <v>5.9130872944920361</v>
      </c>
      <c r="C44" t="s">
        <v>39</v>
      </c>
    </row>
    <row r="45" spans="1:15" ht="18" x14ac:dyDescent="0.25">
      <c r="A45" s="5" t="s">
        <v>44</v>
      </c>
      <c r="B45" s="4">
        <f>B43-B44</f>
        <v>17.883609614242211</v>
      </c>
      <c r="C45" t="s">
        <v>39</v>
      </c>
    </row>
    <row r="46" spans="1:15" ht="18" x14ac:dyDescent="0.25">
      <c r="A46" s="5" t="s">
        <v>65</v>
      </c>
      <c r="B46" s="4">
        <f>B26*B45</f>
        <v>3.3726653233192461</v>
      </c>
    </row>
    <row r="47" spans="1:15" ht="18" x14ac:dyDescent="0.25">
      <c r="A47" s="5" t="s">
        <v>66</v>
      </c>
      <c r="B47" s="4">
        <f>B46/B28</f>
        <v>5.3979318916676542</v>
      </c>
    </row>
    <row r="48" spans="1:15" x14ac:dyDescent="0.25">
      <c r="A48" s="13"/>
      <c r="B48" s="4"/>
    </row>
    <row r="49" spans="1:3" x14ac:dyDescent="0.25">
      <c r="A49" s="1" t="s">
        <v>45</v>
      </c>
    </row>
    <row r="50" spans="1:3" x14ac:dyDescent="0.25">
      <c r="A50" s="22" t="s">
        <v>64</v>
      </c>
      <c r="B50" s="4">
        <f>B30</f>
        <v>4.4827732225232353</v>
      </c>
      <c r="C50" t="s">
        <v>33</v>
      </c>
    </row>
    <row r="51" spans="1:3" ht="18" x14ac:dyDescent="0.25">
      <c r="A51" s="5" t="s">
        <v>66</v>
      </c>
      <c r="B51" s="4">
        <f>B47</f>
        <v>5.3979318916676542</v>
      </c>
      <c r="C51" t="s">
        <v>33</v>
      </c>
    </row>
    <row r="52" spans="1:3" ht="15.75" x14ac:dyDescent="0.25">
      <c r="A52" s="13" t="s">
        <v>67</v>
      </c>
      <c r="B52" s="4">
        <f>SUM(B50:B51)</f>
        <v>9.8807051141908886</v>
      </c>
      <c r="C52" t="s">
        <v>33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Shuttleworth Calculus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Jaques</dc:creator>
  <cp:lastModifiedBy>Johan Jaques</cp:lastModifiedBy>
  <dcterms:created xsi:type="dcterms:W3CDTF">2023-01-17T16:16:30Z</dcterms:created>
  <dcterms:modified xsi:type="dcterms:W3CDTF">2025-08-04T07:47:19Z</dcterms:modified>
</cp:coreProperties>
</file>